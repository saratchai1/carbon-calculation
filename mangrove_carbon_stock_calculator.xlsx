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327d54c34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a36d8901dbc4985"/>
    <x:sheet xmlns:r="http://schemas.openxmlformats.org/officeDocument/2006/relationships" name="Inputs" sheetId="2" r:id="Rf45d55fdd1364e01"/>
    <x:sheet xmlns:r="http://schemas.openxmlformats.org/officeDocument/2006/relationships" name="Calculation" sheetId="3" r:id="R4f353558cdac4a58"/>
    <x:sheet xmlns:r="http://schemas.openxmlformats.org/officeDocument/2006/relationships" name="Sources" sheetId="4" r:id="R2d4f5e5bf95d45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"/>
    <x:numFmt numFmtId="201" formatCode="0.0%"/>
    <x:numFmt numFmtId="202" formatCode="0"/>
    <x:numFmt numFmtId="203" formatCode="0.0000"/>
    <x:numFmt numFmtId="204" formatCode="0.000"/>
    <x:numFmt numFmtId="205" formatCode="0%"/>
    <x:numFmt numFmtId="206" formatCode="0.000 &quot;tCO₂e&quot;"/>
    <x:numFmt numFmtId="207" formatCode="0.00 &quot;tCO₂e/rai/yr&quot;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sz val="11"/>
      <x:color rgb="FF1F4E78"/>
      <x:name val="Carlito"/>
    </x:font>
    <x:font>
      <x:b/>
      <x:sz val="11"/>
      <x:color rgb="FF9C0006"/>
      <x:name val="Carlito"/>
    </x:font>
    <x:font>
      <x:b/>
      <x:sz val="11"/>
      <x:color rgb="FF173B2C"/>
      <x:name val="Carlito"/>
    </x:font>
    <x:font>
      <x:b/>
      <x:sz val="14"/>
      <x:color rgb="FF37562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A2B"/>
      </x:patternFill>
    </x:fill>
    <x:fill>
      <x:patternFill patternType="solid">
        <x:fgColor rgb="FF2F6B4F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FCE4D6"/>
      </x:patternFill>
    </x:fill>
    <x:fill>
      <x:patternFill patternType="solid">
        <x:fgColor rgb="FFDCEFE4"/>
      </x:patternFill>
    </x:fill>
    <x:fill>
      <x:patternFill patternType="solid">
        <x:fgColor rgb="FFE2F0D9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3" fillId="4" borderId="0" xfId="0" applyNumberFormat="1" applyFont="1" applyFill="1" applyBorder="1"/>
    <x:xf numFmtId="200" fontId="4" fillId="5" borderId="0" xfId="0" applyNumberFormat="1" applyFont="1" applyFill="1" applyBorder="1"/>
    <x:xf numFmtId="200" fontId="3" fillId="4" borderId="1" xfId="0" applyNumberFormat="1" applyFont="1" applyFill="1" applyBorder="1"/>
    <x:xf numFmtId="200" fontId="4" fillId="5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2" fontId="3" fillId="4" borderId="0" xfId="0" applyNumberFormat="1" applyFont="1" applyFill="1" applyBorder="1"/>
    <x:xf numFmtId="202" fontId="4" fillId="5" borderId="0" xfId="0" applyNumberFormat="1" applyFont="1" applyFill="1" applyBorder="1"/>
    <x:xf numFmtId="202" fontId="3" fillId="4" borderId="1" xfId="0" applyNumberFormat="1" applyFont="1" applyFill="1" applyBorder="1"/>
    <x:xf numFmtId="202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203" fontId="3" fillId="4" borderId="0" xfId="0" applyNumberFormat="1" applyFont="1" applyFill="1" applyBorder="1"/>
    <x:xf numFmtId="203" fontId="3" fillId="4" borderId="1" xfId="0" applyNumberFormat="1" applyFont="1" applyFill="1" applyBorder="1"/>
    <x:xf numFmtId="204" fontId="3" fillId="4" borderId="0" xfId="0" applyNumberFormat="1" applyFont="1" applyFill="1" applyBorder="1"/>
    <x:xf numFmtId="204" fontId="3" fillId="4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left"/>
    </x:xf>
    <x:xf numFmtId="0" fontId="6" fillId="7" borderId="0" xfId="0" applyNumberFormat="1" applyFont="1" applyFill="1" applyBorder="1" applyAlignment="1">
      <x:alignment horizontal="left" vertic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left"/>
    </x:xf>
    <x:xf numFmtId="0" fontId="6" fillId="7" borderId="1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horizontal="center"/>
    </x:xf>
    <x:xf numFmtId="0" fontId="7" fillId="8" borderId="1" xfId="0" applyNumberFormat="1" applyFont="1" applyFill="1" applyBorder="1" applyAlignment="1">
      <x:alignment horizontal="center" vertical="center"/>
    </x:xf>
    <x:xf numFmtId="206" fontId="7" fillId="8" borderId="0" xfId="0" applyNumberFormat="1" applyFont="1" applyFill="1" applyBorder="1" applyAlignment="1">
      <x:alignment horizontal="center" vertical="center"/>
    </x:xf>
    <x:xf numFmtId="206" fontId="7" fillId="8" borderId="1" xfId="0" applyNumberFormat="1" applyFont="1" applyFill="1" applyBorder="1" applyAlignment="1">
      <x:alignment horizontal="center" vertical="center"/>
    </x:xf>
    <x:xf numFmtId="207" fontId="7" fillId="8" borderId="0" xfId="0" applyNumberFormat="1" applyFont="1" applyFill="1" applyBorder="1" applyAlignment="1">
      <x:alignment horizontal="center" vertical="center"/>
    </x:xf>
    <x:xf numFmtId="207" fontId="7" fillId="8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3" fillId="4" borderId="16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2" fillId="3" borderId="5" xfId="0" applyNumberFormat="1" applyFont="1" applyFill="1" applyBorder="1" applyAlignment="1">
      <x:alignment horizontal="center" vertical="center" wrapText="1"/>
    </x:xf>
    <x:xf numFmtId="0" fontId="5" fillId="6" borderId="8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5" fillId="6" borderId="16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horizontal="left" vertical="center"/>
    </x:xf>
    <x:xf numFmtId="0" fontId="6" fillId="7" borderId="3" xfId="0" applyNumberFormat="1" applyFont="1" applyFill="1" applyBorder="1" applyAlignment="1">
      <x:alignment horizontal="left" vertical="center"/>
    </x:xf>
    <x:xf numFmtId="0" fontId="0" fillId="0" borderId="3" xfId="0" applyNumberFormat="1" applyFont="1" applyFill="1" applyBorder="1"/>
    <x:xf numFmtId="0" fontId="6" fillId="7" borderId="4" xfId="0" applyNumberFormat="1" applyFont="1" applyFill="1" applyBorder="1" applyAlignment="1">
      <x:alignment horizontal="left" vertical="center"/>
    </x:xf>
    <x:xf numFmtId="0" fontId="5" fillId="6" borderId="6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horizontal="left" vertical="center"/>
    </x:xf>
    <x:xf numFmtId="0" fontId="6" fillId="7" borderId="6" xfId="0" applyNumberFormat="1" applyFont="1" applyFill="1" applyBorder="1" applyAlignment="1">
      <x:alignment horizontal="left" vertic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5" fontId="0" fillId="0" borderId="8" xfId="0" applyNumberFormat="1" applyFont="1" applyFill="1" applyBorder="1"/>
    <x:xf numFmtId="204" fontId="0" fillId="0" borderId="8" xfId="0" applyNumberFormat="1" applyFont="1" applyFill="1" applyBorder="1"/>
    <x:xf numFmtId="0" fontId="6" fillId="7" borderId="10" xfId="0" applyNumberFormat="1" applyFont="1" applyFill="1" applyBorder="1" applyAlignment="1">
      <x:alignment horizontal="left" vertical="center"/>
    </x:xf>
    <x:xf numFmtId="0" fontId="6" fillId="7" borderId="11" xfId="0" applyNumberFormat="1" applyFont="1" applyFill="1" applyBorder="1" applyAlignment="1">
      <x:alignment horizontal="left" vertical="center"/>
    </x:xf>
    <x:xf numFmtId="0" fontId="0" fillId="0" borderId="11" xfId="0" applyNumberFormat="1" applyFont="1" applyFill="1" applyBorder="1"/>
    <x:xf numFmtId="0" fontId="6" fillId="7" borderId="12" xfId="0" applyNumberFormat="1" applyFont="1" applyFill="1" applyBorder="1" applyAlignment="1">
      <x:alignment horizontal="left" vertical="center"/>
    </x:xf>
    <x:xf numFmtId="0" fontId="5" fillId="6" borderId="14" xfId="0" applyNumberFormat="1" applyFont="1" applyFill="1" applyBorder="1" applyAlignment="1">
      <x:alignment wrapText="1"/>
    </x:xf>
    <x:xf numFmtId="0" fontId="6" fillId="7" borderId="13" xfId="0" applyNumberFormat="1" applyFont="1" applyFill="1" applyBorder="1" applyAlignment="1">
      <x:alignment horizontal="left" vertical="center"/>
    </x:xf>
    <x:xf numFmtId="0" fontId="6" fillId="7" borderId="14" xfId="0" applyNumberFormat="1" applyFont="1" applyFill="1" applyBorder="1" applyAlignment="1">
      <x:alignment horizontal="left" vertical="center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5" fontId="0" fillId="0" borderId="16" xfId="0" applyNumberFormat="1" applyFont="1" applyFill="1" applyBorder="1"/>
    <x:xf numFmtId="204" fontId="0" fillId="0" borderId="16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b044f7b8114614" /><Relationship Type="http://schemas.openxmlformats.org/officeDocument/2006/relationships/theme" Target="/xl/theme/theme1.xml" Id="R2020a5ada0d549f4" /><Relationship Type="http://schemas.openxmlformats.org/officeDocument/2006/relationships/sharedStrings" Target="/xl/sharedStrings.xml" Id="R487c94046a0b4574" /><Relationship Type="http://schemas.openxmlformats.org/officeDocument/2006/relationships/worksheet" Target="/xl/worksheets/sheet1.xml" Id="R4a36d8901dbc4985" /><Relationship Type="http://schemas.openxmlformats.org/officeDocument/2006/relationships/worksheet" Target="/xl/worksheets/sheet2.xml" Id="Rf45d55fdd1364e01" /><Relationship Type="http://schemas.openxmlformats.org/officeDocument/2006/relationships/worksheet" Target="/xl/worksheets/sheet3.xml" Id="R4f353558cdac4a58" /><Relationship Type="http://schemas.openxmlformats.org/officeDocument/2006/relationships/worksheet" Target="/xl/worksheets/sheet4.xml" Id="R2d4f5e5bf95d45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4091adada545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Carbon stock sensitivity by size mix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Small share</c:v>
          </c:tx>
          <c:cat>
            <c:strRef>
              <c:f>'Dashboard'!$A$19:$A$23</c:f>
              <c:strCache>
                <c:ptCount val="0"/>
              </c:strCache>
            </c:strRef>
          </c:cat>
          <c:val>
            <c:numRef>
              <c:f>'Dashboard'!$B$19:$B$23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Large share</c:v>
          </c:tx>
          <c:cat>
            <c:strRef>
              <c:f>'Dashboard'!$A$19:$A$23</c:f>
              <c:strCache>
                <c:ptCount val="0"/>
              </c:strCache>
            </c:strRef>
          </c:cat>
          <c:val>
            <c:numRef>
              <c:f>'Dashboard'!$C$19:$C$23</c:f>
              <c:numCache>
                <c:formatCode>0%</c:formatCode>
                <c:ptCount val="0"/>
              </c:numCache>
            </c:numRef>
          </c:val>
        </c:ser>
        <c:ser>
          <c:idx val="2"/>
          <c:order val="2"/>
          <c:tx>
            <c:v>Stock/rai (tCO₂e)</c:v>
          </c:tx>
          <c:cat>
            <c:strRef>
              <c:f>'Dashboard'!$A$19:$A$23</c:f>
              <c:strCache>
                <c:ptCount val="0"/>
              </c:strCache>
            </c:strRef>
          </c:cat>
          <c:val>
            <c:numRef>
              <c:f>'Dashboard'!$D$19:$D$23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17</xdr:row>
      <xdr:rowOff>0</xdr:rowOff>
    </xdr:from>
    <xdr:to>
      <xdr:col>12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4091adada5453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e3925090eb476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6" hidden="0" customWidth="1"/>
    <x:col min="5" max="5" width="20" hidden="0" customWidth="1"/>
    <x:col min="6" max="6" width="4" hidden="0" customWidth="1"/>
    <x:col min="7" max="7" width="22" hidden="0" customWidth="1"/>
    <x:col min="8" max="8" width="22" hidden="0" customWidth="1"/>
  </x:cols>
  <x:sheetData>
    <x:row r="1">
      <x:c r="A1" s="5" t="str">
        <x:v>Mangrove Carbon Stock — Field Screening Dashboard</x:v>
      </x:c>
      <x:c r="B1" s="5"/>
      <x:c r="C1" s="5"/>
      <x:c r="D1" s="5"/>
      <x:c r="E1" s="5"/>
      <x:c r="F1" s="5"/>
      <x:c r="G1" s="5"/>
      <x:c r="H1" s="5"/>
    </x:row>
    <x:row r="2">
      <x:c r="A2" s="10" t="str">
        <x:v>Current field inputs: circumference 7.0–10.5 cm, spacing 1.5 m. All results are editable through the Inputs sheet.</x:v>
      </x:c>
      <x:c r="B2" s="10"/>
      <x:c r="C2" s="10"/>
      <x:c r="D2" s="10"/>
      <x:c r="E2" s="10"/>
      <x:c r="F2" s="10"/>
      <x:c r="G2" s="10"/>
      <x:c r="H2" s="10"/>
    </x:row>
    <x:row r="4">
      <x:c r="A4" s="101" t="str">
        <x:v>FIELD / PROJECT INPUTS</x:v>
      </x:c>
      <x:c r="B4" s="102"/>
      <x:c r="C4" s="103"/>
      <x:c r="D4" s="102" t="str">
        <x:v>CURRENT SCREENING STOCK</x:v>
      </x:c>
      <x:c r="E4" s="102"/>
      <x:c r="F4" s="103"/>
      <x:c r="G4" s="102" t="str">
        <x:v>READINESS</x:v>
      </x:c>
      <x:c r="H4" s="104"/>
    </x:row>
    <x:row r="5">
      <x:c r="A5" s="81" t="str">
        <x:v>Land area (rai)</x:v>
      </x:c>
      <x:c r="B5" s="82" t="n">
        <x:f>Inputs!B6</x:f>
        <x:v>1</x:v>
      </x:c>
      <x:c r="C5" s="82"/>
      <x:c r="D5" s="82" t="str">
        <x:v>Computed stock / rai</x:v>
      </x:c>
      <x:c r="E5" s="74" t="n">
        <x:f>Calculation!B11</x:f>
        <x:v>4.695574717248074</x:v>
      </x:c>
      <x:c r="F5" s="82"/>
      <x:c r="G5" s="82" t="str">
        <x:v>POM confirmed?</x:v>
      </x:c>
      <x:c r="H5" s="83" t="str">
        <x:f>Inputs!B22</x:f>
        <x:v>NO</x:v>
      </x:c>
    </x:row>
    <x:row r="6">
      <x:c r="A6" s="81" t="str">
        <x:v>Spacing</x:v>
      </x:c>
      <x:c r="B6" s="82" t="str">
        <x:v>1.5 × 1.5 m</x:v>
      </x:c>
      <x:c r="C6" s="82"/>
      <x:c r="D6" s="82" t="str">
        <x:v>Selected stock / rai</x:v>
      </x:c>
      <x:c r="E6" s="74" t="n">
        <x:f>Calculation!B12</x:f>
        <x:v>4.695574717248074</x:v>
      </x:c>
      <x:c r="F6" s="82"/>
      <x:c r="G6" s="82" t="str">
        <x:v>Species / ρ confirmed?</x:v>
      </x:c>
      <x:c r="H6" s="83" t="str">
        <x:f>Inputs!B23</x:f>
        <x:v>NO</x:v>
      </x:c>
    </x:row>
    <x:row r="7">
      <x:c r="A7" s="81" t="str">
        <x:v>Trees/rai</x:v>
      </x:c>
      <x:c r="B7" s="82" t="n">
        <x:f>Inputs!B9</x:f>
        <x:v>711.1111111111111</x:v>
      </x:c>
      <x:c r="C7" s="82"/>
      <x:c r="D7" s="82" t="str">
        <x:v>Selected total stock</x:v>
      </x:c>
      <x:c r="E7" s="74" t="n">
        <x:f>Calculation!B13</x:f>
        <x:v>4.695574717248074</x:v>
      </x:c>
      <x:c r="F7" s="82"/>
      <x:c r="G7" s="82" t="str">
        <x:v>Min diameter (cm)</x:v>
      </x:c>
      <x:c r="H7" s="83" t="n">
        <x:f>MIN(Calculation!C4:C5)</x:f>
        <x:v>2.228169203286535</x:v>
      </x:c>
    </x:row>
    <x:row r="8">
      <x:c r="A8" s="81" t="str">
        <x:v>Small circumference</x:v>
      </x:c>
      <x:c r="B8" s="82" t="str">
        <x:v>7.0 cm</x:v>
      </x:c>
      <x:c r="C8" s="82"/>
      <x:c r="D8" s="82" t="str">
        <x:v>Ex-ante increment reference</x:v>
      </x:c>
      <x:c r="E8" s="76" t="n">
        <x:f>Calculation!B14</x:f>
        <x:v>9.4</x:v>
      </x:c>
      <x:c r="F8" s="82"/>
      <x:c r="G8" s="82" t="str">
        <x:v>Status</x:v>
      </x:c>
      <x:c r="H8" s="105" t="str">
        <x:f>Calculation!B16</x:f>
        <x:v>SCREENING_ONLY</x:v>
      </x:c>
    </x:row>
    <x:row r="9">
      <x:c r="A9" s="81" t="str">
        <x:v>Large circumference</x:v>
      </x:c>
      <x:c r="B9" s="82" t="str">
        <x:v>10.5 cm</x:v>
      </x:c>
      <x:c r="C9" s="82"/>
      <x:c r="D9" s="82"/>
      <x:c r="E9" s="82"/>
      <x:c r="F9" s="82"/>
      <x:c r="G9" s="82"/>
      <x:c r="H9" s="83"/>
    </x:row>
    <x:row r="10">
      <x:c r="A10" s="81" t="str">
        <x:v>Small/Large share</x:v>
      </x:c>
      <x:c r="B10" s="82" t="str">
        <x:f>TEXT(Inputs!B15,"0%")&amp;" / "&amp;TEXT(Inputs!B16,"0%")</x:f>
        <x:v>50% / 50%</x:v>
      </x:c>
      <x:c r="C10" s="82"/>
      <x:c r="D10" s="82"/>
      <x:c r="E10" s="82"/>
      <x:c r="F10" s="82"/>
      <x:c r="G10" s="82"/>
      <x:c r="H10" s="83"/>
    </x:row>
    <x:row r="11">
      <x:c r="A11" s="81"/>
      <x:c r="B11" s="82"/>
      <x:c r="C11" s="82"/>
      <x:c r="D11" s="82"/>
      <x:c r="E11" s="82"/>
      <x:c r="F11" s="82"/>
      <x:c r="G11" s="82"/>
      <x:c r="H11" s="83"/>
    </x:row>
    <x:row r="12">
      <x:c r="A12" s="106" t="str">
        <x:v>Interpretation</x:v>
      </x:c>
      <x:c r="B12" s="61"/>
      <x:c r="C12" s="61"/>
      <x:c r="D12" s="61"/>
      <x:c r="E12" s="61"/>
      <x:c r="F12" s="61"/>
      <x:c r="G12" s="61"/>
      <x:c r="H12" s="107"/>
    </x:row>
    <x:row r="13">
      <x:c r="A13" s="108" t="str">
        <x:f>"At current inputs, spacing implies "&amp;TEXT(Inputs!B9,"0")&amp;" trees/rai. "&amp;"The screening carbon stock is "&amp;TEXT(Calculation!B11,"0.00")&amp;" tCO2e/rai. "&amp;"Because both measured diameters are below 4.5 cm and POM/species are not yet confirmed, treat this as SCREENING_ONLY. "&amp;"The 9.4 tCO2e/rai/year value is a registered ex-ante increment reference, not the measured current stock."</x:f>
        <x:v>At current inputs, spacing implies 711 trees/rai. The screening carbon stock is 4.70 tCO2e/rai. Because both measured diameters are below 4.5 cm and POM/species are not yet confirmed, treat this as SCREENING_ONLY. The 9.4 tCO2e/rai/year value is a registered ex-ante increment reference, not the measured current stock.</x:v>
      </x:c>
      <x:c r="B13" s="10"/>
      <x:c r="C13" s="10"/>
      <x:c r="D13" s="10"/>
      <x:c r="E13" s="10"/>
      <x:c r="F13" s="10"/>
      <x:c r="G13" s="10"/>
      <x:c r="H13" s="109"/>
    </x:row>
    <x:row r="14">
      <x:c r="A14" s="108"/>
      <x:c r="B14" s="10"/>
      <x:c r="C14" s="10"/>
      <x:c r="D14" s="10"/>
      <x:c r="E14" s="10"/>
      <x:c r="F14" s="10"/>
      <x:c r="G14" s="10"/>
      <x:c r="H14" s="109"/>
    </x:row>
    <x:row r="15">
      <x:c r="A15" s="108"/>
      <x:c r="B15" s="10"/>
      <x:c r="C15" s="10"/>
      <x:c r="D15" s="10"/>
      <x:c r="E15" s="10"/>
      <x:c r="F15" s="10"/>
      <x:c r="G15" s="10"/>
      <x:c r="H15" s="109"/>
    </x:row>
    <x:row r="16">
      <x:c r="A16" s="108"/>
      <x:c r="B16" s="10"/>
      <x:c r="C16" s="10"/>
      <x:c r="D16" s="10"/>
      <x:c r="E16" s="10"/>
      <x:c r="F16" s="10"/>
      <x:c r="G16" s="10"/>
      <x:c r="H16" s="109"/>
    </x:row>
    <x:row r="17">
      <x:c r="A17" s="81"/>
      <x:c r="B17" s="82"/>
      <x:c r="C17" s="82"/>
      <x:c r="D17" s="82"/>
      <x:c r="E17" s="82"/>
      <x:c r="F17" s="82"/>
      <x:c r="G17" s="82"/>
      <x:c r="H17" s="83"/>
    </x:row>
    <x:row r="18">
      <x:c r="A18" s="97" t="str">
        <x:v>Sensitivity scenario</x:v>
      </x:c>
      <x:c r="B18" s="16" t="str">
        <x:v>Small share</x:v>
      </x:c>
      <x:c r="C18" s="16" t="str">
        <x:v>Large share</x:v>
      </x:c>
      <x:c r="D18" s="16" t="str">
        <x:v>Stock/rai (tCO₂e)</x:v>
      </x:c>
      <x:c r="E18" s="82"/>
      <x:c r="F18" s="82"/>
      <x:c r="G18" s="82"/>
      <x:c r="H18" s="83"/>
    </x:row>
    <x:row r="19">
      <x:c r="A19" s="81" t="str">
        <x:v>Scenario 1</x:v>
      </x:c>
      <x:c r="B19" s="56" t="n">
        <x:f>Calculation!F9</x:f>
        <x:v>0</x:v>
      </x:c>
      <x:c r="C19" s="56" t="n">
        <x:f>Calculation!G9</x:f>
        <x:v>1</x:v>
      </x:c>
      <x:c r="D19" s="54" t="n">
        <x:f>Calculation!H9</x:f>
        <x:v>6.789540372436461</x:v>
      </x:c>
      <x:c r="E19" s="82"/>
      <x:c r="F19" s="82"/>
      <x:c r="G19" s="82"/>
      <x:c r="H19" s="83"/>
    </x:row>
    <x:row r="20">
      <x:c r="A20" s="81" t="str">
        <x:v>Scenario 2</x:v>
      </x:c>
      <x:c r="B20" s="56" t="n">
        <x:f>Calculation!F10</x:f>
        <x:v>0.25</x:v>
      </x:c>
      <x:c r="C20" s="56" t="n">
        <x:f>Calculation!G10</x:f>
        <x:v>0.75</x:v>
      </x:c>
      <x:c r="D20" s="54" t="n">
        <x:f>Calculation!H10</x:f>
        <x:v>5.742557544842267</x:v>
      </x:c>
      <x:c r="E20" s="82"/>
      <x:c r="F20" s="82"/>
      <x:c r="G20" s="82"/>
      <x:c r="H20" s="83"/>
    </x:row>
    <x:row r="21">
      <x:c r="A21" s="81" t="str">
        <x:v>Scenario 3</x:v>
      </x:c>
      <x:c r="B21" s="56" t="n">
        <x:f>Calculation!F11</x:f>
        <x:v>0.5</x:v>
      </x:c>
      <x:c r="C21" s="56" t="n">
        <x:f>Calculation!G11</x:f>
        <x:v>0.5</x:v>
      </x:c>
      <x:c r="D21" s="54" t="n">
        <x:f>Calculation!H11</x:f>
        <x:v>4.695574717248074</x:v>
      </x:c>
      <x:c r="E21" s="82"/>
      <x:c r="F21" s="82"/>
      <x:c r="G21" s="82"/>
      <x:c r="H21" s="83"/>
    </x:row>
    <x:row r="22">
      <x:c r="A22" s="81" t="str">
        <x:v>Scenario 4</x:v>
      </x:c>
      <x:c r="B22" s="56" t="n">
        <x:f>Calculation!F12</x:f>
        <x:v>0.75</x:v>
      </x:c>
      <x:c r="C22" s="56" t="n">
        <x:f>Calculation!G12</x:f>
        <x:v>0.25</x:v>
      </x:c>
      <x:c r="D22" s="54" t="n">
        <x:f>Calculation!H12</x:f>
        <x:v>3.648591889653881</x:v>
      </x:c>
      <x:c r="E22" s="82"/>
      <x:c r="F22" s="82"/>
      <x:c r="G22" s="82"/>
      <x:c r="H22" s="83"/>
    </x:row>
    <x:row r="23">
      <x:c r="A23" s="84" t="str">
        <x:v>Scenario 5</x:v>
      </x:c>
      <x:c r="B23" s="110" t="n">
        <x:f>Calculation!F13</x:f>
        <x:v>1</x:v>
      </x:c>
      <x:c r="C23" s="110" t="n">
        <x:f>Calculation!G13</x:f>
        <x:v>0</x:v>
      </x:c>
      <x:c r="D23" s="111" t="n">
        <x:f>Calculation!H13</x:f>
        <x:v>2.6016090620596874</x:v>
      </x:c>
      <x:c r="E23" s="86"/>
      <x:c r="F23" s="86"/>
      <x:c r="G23" s="86"/>
      <x:c r="H23" s="87"/>
    </x:row>
  </x:sheetData>
  <x:mergeCells>
    <x:mergeCell ref="A1:H1"/>
    <x:mergeCell ref="A2:H2"/>
    <x:mergeCell ref="A4:B4"/>
    <x:mergeCell ref="D4:E4"/>
    <x:mergeCell ref="G4:H4"/>
    <x:mergeCell ref="A12:H12"/>
    <x:mergeCell ref="A13:H16"/>
  </x:mergeCells>
  <x:pageMargins left="0.7" right="0.7" top="0.75" bottom="0.75" header="0.3" footer="0.3"/>
  <x:drawing xmlns:r="http://schemas.openxmlformats.org/officeDocument/2006/relationships" r:id="R66e3925090eb476b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60" hidden="0" customWidth="1"/>
  </x:cols>
  <x:sheetData>
    <x:row r="1">
      <x:c r="A1" s="5" t="str">
        <x:v>Carbon Stock Calculator — Editable Field Inputs</x:v>
      </x:c>
      <x:c r="B1" s="5"/>
      <x:c r="C1" s="5"/>
      <x:c r="D1" s="5"/>
    </x:row>
    <x:row r="2" ht="42" customHeight="1">
      <x:c r="A2" s="10" t="str">
        <x:v>Yellow cells are editable. Blue cells are formula-driven. Default values are screening assumptions and must be replaced when project-specific evidence is confirmed.</x:v>
      </x:c>
      <x:c r="B2" s="10"/>
      <x:c r="C2" s="10"/>
      <x:c r="D2" s="10"/>
    </x:row>
    <x:row r="4">
      <x:c r="A4" s="78" t="str">
        <x:v>INPUT</x:v>
      </x:c>
      <x:c r="B4" s="79" t="str">
        <x:v>VALUE</x:v>
      </x:c>
      <x:c r="C4" s="79" t="str">
        <x:v>UNIT</x:v>
      </x:c>
      <x:c r="D4" s="80" t="str">
        <x:v>NOTE / SOURCE</x:v>
      </x:c>
    </x:row>
    <x:row r="5">
      <x:c r="A5" s="81" t="str">
        <x:v>Land area measured</x:v>
      </x:c>
      <x:c r="B5" s="30" t="n">
        <x:v>1600</x:v>
      </x:c>
      <x:c r="C5" s="82" t="str">
        <x:v>m²</x:v>
      </x:c>
      <x:c r="D5" s="83" t="str">
        <x:v>Editable. Default = 1 rai for per-rai screening.</x:v>
      </x:c>
    </x:row>
    <x:row r="6">
      <x:c r="A6" s="81" t="str">
        <x:v>Land area</x:v>
      </x:c>
      <x:c r="B6" s="31" t="n">
        <x:f>B5/1600</x:f>
        <x:v>1</x:v>
      </x:c>
      <x:c r="C6" s="82" t="str">
        <x:v>rai</x:v>
      </x:c>
      <x:c r="D6" s="83" t="str">
        <x:v>Formula = m² / 1,600</x:v>
      </x:c>
    </x:row>
    <x:row r="7">
      <x:c r="A7" s="81" t="str">
        <x:v>Spacing X</x:v>
      </x:c>
      <x:c r="B7" s="30" t="n">
        <x:v>1.5</x:v>
      </x:c>
      <x:c r="C7" s="82" t="str">
        <x:v>m</x:v>
      </x:c>
      <x:c r="D7" s="83" t="str">
        <x:v>Field measurement</x:v>
      </x:c>
    </x:row>
    <x:row r="8">
      <x:c r="A8" s="81" t="str">
        <x:v>Spacing Y</x:v>
      </x:c>
      <x:c r="B8" s="30" t="n">
        <x:v>1.5</x:v>
      </x:c>
      <x:c r="C8" s="82" t="str">
        <x:v>m</x:v>
      </x:c>
      <x:c r="D8" s="83" t="str">
        <x:v>Field measurement</x:v>
      </x:c>
    </x:row>
    <x:row r="9">
      <x:c r="A9" s="81" t="str">
        <x:v>Theoretical planting density</x:v>
      </x:c>
      <x:c r="B9" s="31" t="n">
        <x:f>1600/(B7*B8)</x:f>
        <x:v>711.1111111111111</x:v>
      </x:c>
      <x:c r="C9" s="82" t="str">
        <x:v>trees/rai</x:v>
      </x:c>
      <x:c r="D9" s="83" t="str">
        <x:v>1600 / (Spacing X × Spacing Y)</x:v>
      </x:c>
    </x:row>
    <x:row r="10">
      <x:c r="A10" s="81" t="str">
        <x:v>Survival rate</x:v>
      </x:c>
      <x:c r="B10" s="34" t="n">
        <x:v>1</x:v>
      </x:c>
      <x:c r="C10" s="82" t="str">
        <x:v>%</x:v>
      </x:c>
      <x:c r="D10" s="83" t="str">
        <x:v>Editable. Use actual survival later.</x:v>
      </x:c>
    </x:row>
    <x:row r="11">
      <x:c r="A11" s="81" t="str">
        <x:v>Actual live tree count override</x:v>
      </x:c>
      <x:c r="B11" s="36"/>
      <x:c r="C11" s="82" t="str">
        <x:v>trees</x:v>
      </x:c>
      <x:c r="D11" s="83" t="str">
        <x:v>Optional. If blank, estimate from area × spacing × survival.</x:v>
      </x:c>
    </x:row>
    <x:row r="12">
      <x:c r="A12" s="81" t="str">
        <x:v>Live trees used</x:v>
      </x:c>
      <x:c r="B12" s="37" t="n">
        <x:f>IF(B11&gt;0,B11,B6*B9*B10)</x:f>
        <x:v>711.1111111111111</x:v>
      </x:c>
      <x:c r="C12" s="82" t="str">
        <x:v>trees</x:v>
      </x:c>
      <x:c r="D12" s="83" t="str">
        <x:v>Uses override if entered, otherwise formula estimate.</x:v>
      </x:c>
    </x:row>
    <x:row r="13">
      <x:c r="A13" s="81" t="str">
        <x:v>Small-tree circumference</x:v>
      </x:c>
      <x:c r="B13" s="30" t="n">
        <x:v>7</x:v>
      </x:c>
      <x:c r="C13" s="82" t="str">
        <x:v>cm</x:v>
      </x:c>
      <x:c r="D13" s="83" t="str">
        <x:v>New field measurement</x:v>
      </x:c>
    </x:row>
    <x:row r="14">
      <x:c r="A14" s="81" t="str">
        <x:v>Large-tree circumference</x:v>
      </x:c>
      <x:c r="B14" s="30" t="n">
        <x:v>10.5</x:v>
      </x:c>
      <x:c r="C14" s="82" t="str">
        <x:v>cm</x:v>
      </x:c>
      <x:c r="D14" s="83" t="str">
        <x:v>New field measurement</x:v>
      </x:c>
    </x:row>
    <x:row r="15">
      <x:c r="A15" s="81" t="str">
        <x:v>Small-tree share</x:v>
      </x:c>
      <x:c r="B15" s="34" t="n">
        <x:v>0.5</x:v>
      </x:c>
      <x:c r="C15" s="82" t="str">
        <x:v>%</x:v>
      </x:c>
      <x:c r="D15" s="83" t="str">
        <x:v>Assumption until actual class counts are available.</x:v>
      </x:c>
    </x:row>
    <x:row r="16">
      <x:c r="A16" s="81" t="str">
        <x:v>Large-tree share</x:v>
      </x:c>
      <x:c r="B16" s="40" t="n">
        <x:f>1-B15</x:f>
        <x:v>0.5</x:v>
      </x:c>
      <x:c r="C16" s="82" t="str">
        <x:v>%</x:v>
      </x:c>
      <x:c r="D16" s="83" t="str">
        <x:v>Formula = 1 - small-tree share</x:v>
      </x:c>
    </x:row>
    <x:row r="17">
      <x:c r="A17" s="81" t="str">
        <x:v>Wood density (ρ)</x:v>
      </x:c>
      <x:c r="B17" s="42" t="n">
        <x:v>0.7</x:v>
      </x:c>
      <x:c r="C17" s="82" t="str">
        <x:v>g/cm³</x:v>
      </x:c>
      <x:c r="D17" s="83" t="str">
        <x:v>SCREENING default only. Replace with approved species/project value.</x:v>
      </x:c>
    </x:row>
    <x:row r="18">
      <x:c r="A18" s="81" t="str">
        <x:v>Carbon fraction (CF)</x:v>
      </x:c>
      <x:c r="B18" s="42" t="n">
        <x:v>0.4715</x:v>
      </x:c>
      <x:c r="C18" s="82" t="str">
        <x:v>tC/t dry biomass</x:v>
      </x:c>
      <x:c r="D18" s="83" t="str">
        <x:v>Editable. 0.4715 appears in STC+VSD Group 2 workbook; confirm project identity before formal use.</x:v>
      </x:c>
    </x:row>
    <x:row r="19">
      <x:c r="A19" s="81" t="str">
        <x:v>Include below-ground biomass</x:v>
      </x:c>
      <x:c r="B19" s="23" t="n">
        <x:v>1</x:v>
      </x:c>
      <x:c r="C19" s="82" t="str">
        <x:v>1=yes, 0=no</x:v>
      </x:c>
      <x:c r="D19" s="83" t="str">
        <x:v>Default yes; project tree pool includes below-ground biomass.</x:v>
      </x:c>
    </x:row>
    <x:row r="20">
      <x:c r="A20" s="81" t="str">
        <x:v>Manual carbon stock override</x:v>
      </x:c>
      <x:c r="B20" s="44"/>
      <x:c r="C20" s="82" t="str">
        <x:v>tCO₂e/rai</x:v>
      </x:c>
      <x:c r="D20" s="83" t="str">
        <x:v>Optional. If entered, Dashboard uses this instead of screening calculation.</x:v>
      </x:c>
    </x:row>
    <x:row r="21">
      <x:c r="A21" s="81" t="str">
        <x:v>Ex-ante increment reference</x:v>
      </x:c>
      <x:c r="B21" s="44" t="n">
        <x:v>9.4</x:v>
      </x:c>
      <x:c r="C21" s="82" t="str">
        <x:v>tCO₂e/rai/year</x:v>
      </x:c>
      <x:c r="D21" s="83" t="str">
        <x:v>Registered project estimate reference; NOT current measured stock.</x:v>
      </x:c>
    </x:row>
    <x:row r="22">
      <x:c r="A22" s="81" t="str">
        <x:v>Correct POM confirmed?</x:v>
      </x:c>
      <x:c r="B22" s="23" t="str">
        <x:v>NO</x:v>
      </x:c>
      <x:c r="C22" s="82" t="str">
        <x:v>YES/NO</x:v>
      </x:c>
      <x:c r="D22" s="83" t="str">
        <x:v>Rhizophora may require 30 cm above highest securely grounded prop root.</x:v>
      </x:c>
    </x:row>
    <x:row r="23">
      <x:c r="A23" s="84" t="str">
        <x:v>Species / wood density confirmed?</x:v>
      </x:c>
      <x:c r="B23" s="85" t="str">
        <x:v>NO</x:v>
      </x:c>
      <x:c r="C23" s="86" t="str">
        <x:v>YES/NO</x:v>
      </x:c>
      <x:c r="D23" s="87" t="str">
        <x:v>Needed before project-grade tree-level carbon calculation.</x:v>
      </x:c>
    </x:row>
    <x:row r="25">
      <x:c r="A25" s="48" t="str">
        <x:v>Methodology warning</x:v>
      </x:c>
      <x:c r="B25" s="48"/>
      <x:c r="C25" s="48"/>
      <x:c r="D25" s="48"/>
    </x:row>
    <x:row r="26">
      <x:c r="A26" s="48" t="str">
        <x:v>With circumferences 7.0 cm and 10.5 cm, the implied diameters are about 2.23 cm and 3.34 cm. Both are below the 4.5 cm DBH threshold documented for the Standard T-VER Group 2 tree equation workflow. Therefore this workbook reports a SCREENING stock estimate using the same Komiyama form, but it must not be treated as project-grade / verified carbon until species, measurement point (POM), and equation applicability are confirmed.</x:v>
      </x:c>
      <x:c r="B26" s="48"/>
      <x:c r="C26" s="48"/>
      <x:c r="D26" s="48"/>
    </x:row>
    <x:row r="27">
      <x:c r="A27" s="48"/>
      <x:c r="B27" s="48"/>
      <x:c r="C27" s="48"/>
      <x:c r="D27" s="48"/>
    </x:row>
    <x:row r="28">
      <x:c r="A28" s="48"/>
      <x:c r="B28" s="48"/>
      <x:c r="C28" s="48"/>
      <x:c r="D28" s="48"/>
    </x:row>
    <x:row r="29">
      <x:c r="A29" s="48"/>
      <x:c r="B29" s="48"/>
      <x:c r="C29" s="48"/>
      <x:c r="D29" s="48"/>
    </x:row>
  </x:sheetData>
  <x:mergeCells>
    <x:mergeCell ref="A1:D1"/>
    <x:mergeCell ref="A2:D2"/>
    <x:mergeCell ref="A25:D25"/>
    <x:mergeCell ref="A26:D29"/>
  </x:mergeCells>
  <x:dataValidations count="2">
    <x:dataValidation type="list" sqref="B22:B23">
      <x:formula1>"YES,NO"</x:formula1>
    </x:dataValidation>
    <x:dataValidation type="list" sqref="B19">
      <x:formula1>"1,0"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70" hidden="0" customWidth="1"/>
    <x:col min="4" max="4" width="35" hidden="0" customWidth="1"/>
  </x:cols>
  <x:sheetData>
    <x:row r="1">
      <x:c r="A1" s="5" t="str">
        <x:v>Sources &amp; Methodology Notes</x:v>
      </x:c>
      <x:c r="B1" s="5"/>
      <x:c r="C1" s="5"/>
      <x:c r="D1" s="5"/>
    </x:row>
    <x:row r="3">
      <x:c r="A3" s="78" t="str">
        <x:v>Topic</x:v>
      </x:c>
      <x:c r="B3" s="79" t="str">
        <x:v>Project/Wiki evidence</x:v>
      </x:c>
      <x:c r="C3" s="79" t="str">
        <x:v>URL</x:v>
      </x:c>
      <x:c r="D3" s="80" t="str">
        <x:v>Use in workbook</x:v>
      </x:c>
    </x:row>
    <x:row r="4">
      <x:c r="A4" s="108" t="str">
        <x:v>Standard T-VER Group 2 allometry</x:v>
      </x:c>
      <x:c r="B4" s="10" t="str">
        <x:v>Komiyama equations: AGB = 0.251×ρ×D^2.46; BGB = 0.199×ρ^0.899×D^2.22</x:v>
      </x:c>
      <x:c r="C4" s="10" t="str">
        <x:v>https://github.com/saratchai1/carbon-credit-wiki-llm/blob/main/projects/standard-tver-group-2/allometry.md</x:v>
      </x:c>
      <x:c r="D4" s="109" t="str">
        <x:v>Screening biomass equations</x:v>
      </x:c>
    </x:row>
    <x:row r="5">
      <x:c r="A5" s="108" t="str">
        <x:v>Field measurement / POM</x:v>
      </x:c>
      <x:c r="B5" s="10" t="str">
        <x:v>Normal DBH 1.3 m; Rhizophora may require 30 cm above highest securely grounded prop root</x:v>
      </x:c>
      <x:c r="C5" s="10" t="str">
        <x:v>https://github.com/saratchai1/carbon-credit-wiki-llm/blob/main/projects/standard-tver-group-2/field-measurement-pom.md</x:v>
      </x:c>
      <x:c r="D5" s="109" t="str">
        <x:v>Methodology warning / readiness</x:v>
      </x:c>
    </x:row>
    <x:row r="6">
      <x:c r="A6" s="108" t="str">
        <x:v>Project ex-ante increment</x:v>
      </x:c>
      <x:c r="B6" s="10" t="str">
        <x:v>9.4 tCO2e/rai/year project estimate reference</x:v>
      </x:c>
      <x:c r="C6" s="10" t="str">
        <x:v>https://github.com/saratchai1/carbon-credit-wiki-llm/blob/main/projects/standard-tver-group-2/project-sequestration.md</x:v>
      </x:c>
      <x:c r="D6" s="109" t="str">
        <x:v>Reference only, not current stock</x:v>
      </x:c>
    </x:row>
    <x:row r="7">
      <x:c r="A7" s="108" t="str">
        <x:v>STC+VSD project workbook</x:v>
      </x:c>
      <x:c r="B7" s="10" t="str">
        <x:v>Carbon fraction 0.4715 observed in project package</x:v>
      </x:c>
      <x:c r="C7" s="10" t="str">
        <x:v>https://github.com/saratchai1/carbon-credit-wiki-llm/blob/main/projects/standard-tver-group-2-stc-vsd/project-profile.yaml</x:v>
      </x:c>
      <x:c r="D7" s="109" t="str">
        <x:v>Default editable CF; confirm project identity</x:v>
      </x:c>
    </x:row>
    <x:row r="8">
      <x:c r="A8" s="108" t="str">
        <x:v>Core calculation hierarchy</x:v>
      </x:c>
      <x:c r="B8" s="10" t="str">
        <x:v>Carbon stock ≠ carbon-stock change ≠ certified credit</x:v>
      </x:c>
      <x:c r="C8" s="10" t="str">
        <x:v>https://github.com/saratchai1/carbon-credit-wiki-llm/blob/main/calculation/calculation-chain.md</x:v>
      </x:c>
      <x:c r="D8" s="109" t="str">
        <x:v>Output labeling</x:v>
      </x:c>
    </x:row>
    <x:row r="9">
      <x:c r="A9" s="108"/>
      <x:c r="B9" s="10"/>
      <x:c r="C9" s="10"/>
      <x:c r="D9" s="109"/>
    </x:row>
    <x:row r="10">
      <x:c r="A10" s="123" t="str">
        <x:v>Important: Replace wood density, carbon fraction, POM status, size-class mix, survival, actual tree count, and land area as better field evidence becomes available.</x:v>
      </x:c>
      <x:c r="B10" s="98"/>
      <x:c r="C10" s="98"/>
      <x:c r="D10" s="124"/>
    </x:row>
  </x:sheetData>
  <x:mergeCells>
    <x:mergeCell ref="A1:D1"/>
    <x:mergeCell ref="A10:D10"/>
  </x:mergeCells>
  <x:pageMargins left="0.7" right="0.7" top="0.75" bottom="0.75" header="0.3" footer="0.3"/>
</x:worksheet>
</file>